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dankiet\Documents\Innomat-Project\"/>
    </mc:Choice>
  </mc:AlternateContent>
  <xr:revisionPtr revIDLastSave="0" documentId="13_ncr:1_{91FEEBFE-0855-46C1-9FAF-965B10E2D399}" xr6:coauthVersionLast="47" xr6:coauthVersionMax="47" xr10:uidLastSave="{00000000-0000-0000-0000-000000000000}"/>
  <bookViews>
    <workbookView xWindow="-120" yWindow="-120" windowWidth="29040" windowHeight="15720" tabRatio="500" xr2:uid="{00000000-000D-0000-FFFF-FFFF00000000}"/>
  </bookViews>
  <sheets>
    <sheet name="BAO GIA" sheetId="1" r:id="rId1"/>
  </sheets>
  <definedNames>
    <definedName name="_xlnm.Print_Area" localSheetId="0">'BAO GIA'!$A$1:$O$57</definedName>
    <definedName name="_xlnm.Print_Titles" localSheetId="0">'BAO GIA'!$1:$7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30" i="1" l="1"/>
  <c r="L29" i="1"/>
  <c r="L28" i="1"/>
  <c r="L27" i="1"/>
  <c r="L26" i="1"/>
  <c r="L25" i="1"/>
  <c r="L24" i="1"/>
  <c r="L23" i="1"/>
  <c r="L22" i="1"/>
  <c r="L21" i="1"/>
  <c r="L20" i="1"/>
  <c r="L19" i="1"/>
  <c r="L36" i="1" s="1"/>
  <c r="L37" i="1" l="1"/>
  <c r="L38" i="1" s="1"/>
</calcChain>
</file>

<file path=xl/sharedStrings.xml><?xml version="1.0" encoding="utf-8"?>
<sst xmlns="http://schemas.openxmlformats.org/spreadsheetml/2006/main" count="154" uniqueCount="104">
  <si>
    <t>CÔNG TY TNHH TM QUỐC TẾ INNOMAT</t>
  </si>
  <si>
    <t>BÁO GIÁ</t>
  </si>
  <si>
    <t>Hotline: 0909 884 429 (Ms. Lan)  •  0931 154 449</t>
  </si>
  <si>
    <t>Số báo giá:</t>
  </si>
  <si>
    <t>PO260704PL</t>
  </si>
  <si>
    <t>Email: info@innomat.vn   •   Website: www.innomat.vn</t>
  </si>
  <si>
    <t>Ngày báo giá:</t>
  </si>
  <si>
    <t>04/07/2026</t>
  </si>
  <si>
    <t>Kính gửi: CÔNG TY TRÍ LỰC VIỆT</t>
  </si>
  <si>
    <t>Công trình: Simer - Thái Nguyên</t>
  </si>
  <si>
    <t>Người liên lạc: Ngọc Vân</t>
  </si>
  <si>
    <t>Địa điểm giao hàng: Simer Thái Nguyên</t>
  </si>
  <si>
    <t>NGƯỜI BÁO GIÁ</t>
  </si>
  <si>
    <t>HIỆU LỰC BÁO GIÁ</t>
  </si>
  <si>
    <t>THỜI GIAN GIAO HÀNG</t>
  </si>
  <si>
    <t>Mr Kiệt - 0901 378 391</t>
  </si>
  <si>
    <t>30 ngày kể từ ngày báo giá</t>
  </si>
  <si>
    <t>3-5 ngày kể từ ngày xác nhận &amp; tạm ứng</t>
  </si>
  <si>
    <t>Chân thành cảm ơn Quý khách hàng đã quan tâm và tin tưởng sản phẩm của Innomat. Chúng tôi xin gửi đến Quý Công ty báo giá như sau:</t>
  </si>
  <si>
    <t>Stt</t>
  </si>
  <si>
    <t>Hình ảnh</t>
  </si>
  <si>
    <t>Mã hàng</t>
  </si>
  <si>
    <t>Tên hàng</t>
  </si>
  <si>
    <t>Kích thước
(mm)</t>
  </si>
  <si>
    <t>Bề mặt</t>
  </si>
  <si>
    <t>Quy cách
đóng gói</t>
  </si>
  <si>
    <t>Số lượng
đặt hàng</t>
  </si>
  <si>
    <t>ĐVT</t>
  </si>
  <si>
    <t>Đơn giá</t>
  </si>
  <si>
    <t>Thành tiền</t>
  </si>
  <si>
    <t>Xuất xứ</t>
  </si>
  <si>
    <t>Ghi chú</t>
  </si>
  <si>
    <t>ID8131</t>
  </si>
  <si>
    <t>Gạch bậc cầu thang Terrazzo</t>
  </si>
  <si>
    <t>800x800mm</t>
  </si>
  <si>
    <t>Mờ</t>
  </si>
  <si>
    <t>3 viên/1.92m2</t>
  </si>
  <si>
    <t>m2</t>
  </si>
  <si>
    <t>Trung Quốc</t>
  </si>
  <si>
    <t>5 thùng</t>
  </si>
  <si>
    <t>C12</t>
  </si>
  <si>
    <t>Gạch thẻ 75x300mm</t>
  </si>
  <si>
    <t>75x300mm</t>
  </si>
  <si>
    <t>Bóng</t>
  </si>
  <si>
    <t>44 viên/1.00m2</t>
  </si>
  <si>
    <t>2.5 thùng</t>
  </si>
  <si>
    <t>C11</t>
  </si>
  <si>
    <t>33 thùng</t>
  </si>
  <si>
    <t>97GL21</t>
  </si>
  <si>
    <t>Gạch ốp tường bếp</t>
  </si>
  <si>
    <t>97x97mm
300x300mm</t>
  </si>
  <si>
    <t>11 vỉ/1.00m2</t>
  </si>
  <si>
    <t>27 thùng</t>
  </si>
  <si>
    <t>IC8801</t>
  </si>
  <si>
    <t>Gạch lát sàn trong nhà 800x800mm</t>
  </si>
  <si>
    <t>44 thùng</t>
  </si>
  <si>
    <t>Gạch cắt len 180x800mm</t>
  </si>
  <si>
    <t>800x800mm
viên 18x80cm</t>
  </si>
  <si>
    <t>9.6 mét dài</t>
  </si>
  <si>
    <t>Gạch cắt len 100x800mm</t>
  </si>
  <si>
    <t>800x800mm
viên 10x80cm</t>
  </si>
  <si>
    <t>19.2 mét dài</t>
  </si>
  <si>
    <t>IZA6615</t>
  </si>
  <si>
    <t>Gạch lát kho 60x60cm</t>
  </si>
  <si>
    <t>600x600mm</t>
  </si>
  <si>
    <t>4 viên/1.44m2</t>
  </si>
  <si>
    <t>Việt Nam</t>
  </si>
  <si>
    <t>52 thùng</t>
  </si>
  <si>
    <t>Gạch cắt len 15x60cm</t>
  </si>
  <si>
    <t>600x600mm
48 viên 15x60cm</t>
  </si>
  <si>
    <t>28.8 mét dài</t>
  </si>
  <si>
    <t>IN360</t>
  </si>
  <si>
    <t>Gạch trắng bóng ốp tường kho 30x60cm</t>
  </si>
  <si>
    <t>300x600mm</t>
  </si>
  <si>
    <t>8 viên/1.44m2</t>
  </si>
  <si>
    <t>10 thùng</t>
  </si>
  <si>
    <t>IZA6617</t>
  </si>
  <si>
    <t>Gạch vân đá 600x600mm</t>
  </si>
  <si>
    <t>6 thùng</t>
  </si>
  <si>
    <t>600x600mm
32 viên 15x60cm</t>
  </si>
  <si>
    <t>Phí cắt gạch len tường 180x800mm (9.6 mét dài)</t>
  </si>
  <si>
    <t>12 viên 18x80cm</t>
  </si>
  <si>
    <t>Phí cắt gạch len tường 100x800mm (19.2 mét dài)</t>
  </si>
  <si>
    <t>24 viên 10x80cm</t>
  </si>
  <si>
    <t>Phí cắt gạch len tường 150x600mm (28.8 mét dài)</t>
  </si>
  <si>
    <t>40 viên 15x60cm</t>
  </si>
  <si>
    <t>Phí cắt gạch len tường 150x600mm (19.2 mét dài)</t>
  </si>
  <si>
    <t>36 viên 15x60cm</t>
  </si>
  <si>
    <t>Phí vận chuyển (HCM - Thái Nguyên)</t>
  </si>
  <si>
    <t>TỔNG CỘNG</t>
  </si>
  <si>
    <t>VAT (8%)</t>
  </si>
  <si>
    <t>TỔNG THANH TOÁN</t>
  </si>
  <si>
    <t>PHƯƠNG THỨC GIAO NHẬN</t>
  </si>
  <si>
    <t>PHƯƠNG THỨC THANH TOÁN</t>
  </si>
  <si>
    <t>- Giao hàng miễn phí trong nội thành TP.HCM.
- Giao đến chân công trình, bốc xếp trong vòng 5m, không lên lầu / xuống hầm.
- Nếu phát sinh chi phí do đường khó đi, cấm tải hoặc ngoài giờ hành chính, Quý khách chịu chi phí phát sinh.
Địa điểm giao hàng: Simer Thái Nguyên. Thời gian: 3-5 ngày kể từ ngày xác nhận &amp; tạm ứng.</t>
  </si>
  <si>
    <t>- Tạm ứng 40% giá trị đơn hàng.
- Thanh toán số tiền còn lại trong vòng 10 ngày kể từ ngày nhận đủ hàng.
Tài khoản: CÔNG TY TNHH TM QUỐC TẾ INNOMAT
STK: 045704070016665 – Ngân hàng HD Bank – Chi nhánh Sài Gòn</t>
  </si>
  <si>
    <t>CÁC LƯU Ý &amp; HƯỚNG DẪN</t>
  </si>
  <si>
    <t>Đổi trả hàng:  Đối với sản phẩm không đúng chất lượng cam kết, lỗi hoặc sai sót trong giao nhận do Bên Bán, Quý khách có thể đổi trả trong vòng 07 ngày, với điều kiện hàng chưa qua sử dụng (chưa ngâm nước, trét vữa, cắt hoặc ốp) và không bể vỡ. Nếu hàng bể vỡ do nhà sản xuất, vui lòng cung cấp hình ảnh / video khi khui thùng.</t>
  </si>
  <si>
    <t>Giao nhận &amp; bảo quản gạch:  Chuẩn bị mặt bằng khu vực bằng phẳng, khô ráo trước khi nhận hàng để tránh bể vỡ. Riêng gạch mosaic (nếu có) cần bảo quản nơi khô ráo, tránh thấm nước làm bong vĩ gạch.</t>
  </si>
  <si>
    <t>Hướng dẫn thi công:  Kiểm tra mã lô/mã màu trước khi thi công, mỗi khu vực chỉ ốp 1 mã lô. Chừa ron 2-3mm giữa các viên gạch, dùng nẹp cân bằng và ke ron. Ốp gạch thẳng hàng theo chiều mũi tên/logo. Lau sạch bề mặt và chờ khô 30 phút trước khi chà ron. Dùng keo dán và bột chà ron phù hợp với từng loại gạch.</t>
  </si>
  <si>
    <t>Rất mong nhận được sự hợp tác của Quý công ty!</t>
  </si>
  <si>
    <t>XÁC NHẬN CỦA KHÁCH HÀNG</t>
  </si>
  <si>
    <t>(Ký, ghi rõ họ tên)</t>
  </si>
  <si>
    <t>Địa chỉ: 36 đường 25, P. Tân Hưng, TP. 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</si>
</sst>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đ&quot;"/>
  </numFmts>
  <fonts count="21" x14ac:knownFonts="1">
    <font>
      <sz val="11"/>
      <color theme="1"/>
      <name val="Calibri"/>
      <family val="2"/>
      <charset val="1"/>
    </font>
    <font>
      <b/>
      <sz val="13"/>
      <color rgb="FF16365C"/>
      <name val="Calibri"/>
      <charset val="1"/>
    </font>
    <font>
      <b/>
      <sz val="26"/>
      <color rgb="FF2E9E9E"/>
      <name val="Calibri"/>
      <charset val="1"/>
    </font>
    <font>
      <sz val="9.5"/>
      <color rgb="FF262626"/>
      <name val="Calibri"/>
      <charset val="1"/>
    </font>
    <font>
      <b/>
      <sz val="9.5"/>
      <color rgb="FF16365C"/>
      <name val="Calibri"/>
      <charset val="1"/>
    </font>
    <font>
      <b/>
      <sz val="9.5"/>
      <color rgb="FF262626"/>
      <name val="Calibri"/>
      <charset val="1"/>
    </font>
    <font>
      <b/>
      <sz val="12"/>
      <color rgb="FF16365C"/>
      <name val="Calibri"/>
      <charset val="1"/>
    </font>
    <font>
      <sz val="10"/>
      <color rgb="FF262626"/>
      <name val="Calibri"/>
      <charset val="1"/>
    </font>
    <font>
      <b/>
      <sz val="8.5"/>
      <color rgb="FFFFFFFF"/>
      <name val="Calibri"/>
      <charset val="1"/>
    </font>
    <font>
      <i/>
      <sz val="9.5"/>
      <color rgb="FF16365C"/>
      <name val="Calibri"/>
      <charset val="1"/>
    </font>
    <font>
      <b/>
      <sz val="9.5"/>
      <color rgb="FFFFFFFF"/>
      <name val="Calibri"/>
      <charset val="1"/>
    </font>
    <font>
      <i/>
      <sz val="9.5"/>
      <color rgb="FF262626"/>
      <name val="Calibri"/>
      <charset val="1"/>
    </font>
    <font>
      <b/>
      <sz val="10"/>
      <color rgb="FF262626"/>
      <name val="Calibri"/>
      <charset val="1"/>
    </font>
    <font>
      <b/>
      <sz val="10.5"/>
      <color rgb="FF262626"/>
      <name val="Calibri"/>
      <charset val="1"/>
    </font>
    <font>
      <b/>
      <sz val="11"/>
      <color rgb="FFFFFFFF"/>
      <name val="Calibri"/>
      <charset val="1"/>
    </font>
    <font>
      <b/>
      <sz val="12"/>
      <color rgb="FFFFFFFF"/>
      <name val="Calibri"/>
      <charset val="1"/>
    </font>
    <font>
      <sz val="9"/>
      <color rgb="FF262626"/>
      <name val="Calibri"/>
      <charset val="1"/>
    </font>
    <font>
      <b/>
      <sz val="10.5"/>
      <color rgb="FFFFFFFF"/>
      <name val="Calibri"/>
      <charset val="1"/>
    </font>
    <font>
      <b/>
      <i/>
      <sz val="10"/>
      <color rgb="FF16365C"/>
      <name val="Calibri"/>
      <charset val="1"/>
    </font>
    <font>
      <b/>
      <sz val="10.5"/>
      <color rgb="FF16365C"/>
      <name val="Calibri"/>
      <charset val="1"/>
    </font>
    <font>
      <i/>
      <sz val="9"/>
      <color rgb="FF808080"/>
      <name val="Calibri"/>
      <charset val="1"/>
    </font>
  </fonts>
  <fills count="7">
    <fill>
      <patternFill patternType="none"/>
    </fill>
    <fill>
      <patternFill patternType="gray125"/>
    </fill>
    <fill>
      <patternFill patternType="solid">
        <fgColor rgb="FF16365C"/>
        <bgColor rgb="FF1F4E78"/>
      </patternFill>
    </fill>
    <fill>
      <patternFill patternType="solid">
        <fgColor rgb="FF2E9E9E"/>
        <bgColor rgb="FF008080"/>
      </patternFill>
    </fill>
    <fill>
      <patternFill patternType="solid">
        <fgColor rgb="FF1F4E78"/>
        <bgColor rgb="FF16365C"/>
      </patternFill>
    </fill>
    <fill>
      <patternFill patternType="solid">
        <fgColor rgb="FFF5F7FA"/>
        <bgColor rgb="FFFFFFFF"/>
      </patternFill>
    </fill>
    <fill>
      <patternFill patternType="solid">
        <fgColor rgb="FFFFFFFF"/>
        <bgColor rgb="FFF5F7FA"/>
      </patternFill>
    </fill>
  </fills>
  <borders count="9">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16365C"/>
      </top>
      <bottom style="thin">
        <color rgb="FF16365C"/>
      </bottom>
      <diagonal/>
    </border>
    <border>
      <left style="medium">
        <color rgb="FF2E9E9E"/>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16365C"/>
      </top>
      <bottom style="thin">
        <color rgb="FF16365C"/>
      </bottom>
      <diagonal/>
    </border>
    <border>
      <left/>
      <right style="thin">
        <color rgb="FFD9D9D9"/>
      </right>
      <top style="thin">
        <color rgb="FF16365C"/>
      </top>
      <bottom style="thin">
        <color rgb="FF16365C"/>
      </bottom>
      <diagonal/>
    </border>
  </borders>
  <cellStyleXfs count="1">
    <xf numFmtId="0" fontId="0" fillId="0" borderId="0"/>
  </cellStyleXfs>
  <cellXfs count="43">
    <xf numFmtId="0" fontId="0" fillId="0" borderId="0" xfId="0"/>
    <xf numFmtId="0" fontId="0" fillId="2" borderId="0" xfId="0" applyFill="1"/>
    <xf numFmtId="0" fontId="0" fillId="3" borderId="0" xfId="0" applyFill="1"/>
    <xf numFmtId="0" fontId="4"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right" vertical="center" wrapText="1"/>
    </xf>
    <xf numFmtId="0" fontId="4"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3" fontId="3" fillId="5" borderId="1" xfId="0" applyNumberFormat="1" applyFont="1" applyFill="1" applyBorder="1" applyAlignment="1">
      <alignment horizontal="right" vertical="center" wrapText="1"/>
    </xf>
    <xf numFmtId="0" fontId="4" fillId="0" borderId="1" xfId="0" applyFont="1" applyBorder="1" applyAlignment="1">
      <alignment horizontal="center" vertical="center"/>
    </xf>
    <xf numFmtId="3" fontId="5" fillId="0" borderId="1" xfId="0" applyNumberFormat="1" applyFont="1" applyBorder="1" applyAlignment="1">
      <alignment horizontal="right" vertical="center"/>
    </xf>
    <xf numFmtId="0" fontId="0" fillId="0" borderId="1" xfId="0" applyBorder="1"/>
    <xf numFmtId="0" fontId="3" fillId="0" borderId="1" xfId="0" applyFont="1" applyBorder="1" applyAlignment="1">
      <alignment horizontal="left" vertical="center"/>
    </xf>
    <xf numFmtId="0" fontId="20" fillId="0" borderId="0" xfId="0" applyFont="1" applyAlignment="1">
      <alignment horizontal="center"/>
    </xf>
    <xf numFmtId="0" fontId="18" fillId="0" borderId="0" xfId="0" applyFont="1"/>
    <xf numFmtId="0" fontId="19" fillId="0" borderId="0" xfId="0" applyFont="1" applyAlignment="1">
      <alignment horizontal="center"/>
    </xf>
    <xf numFmtId="0" fontId="10" fillId="3" borderId="1" xfId="0" applyFont="1" applyFill="1" applyBorder="1" applyAlignment="1">
      <alignment horizontal="left" vertical="center" indent="1"/>
    </xf>
    <xf numFmtId="0" fontId="17" fillId="2" borderId="0" xfId="0" applyFont="1" applyFill="1" applyAlignment="1">
      <alignment horizontal="left" vertical="center" indent="1"/>
    </xf>
    <xf numFmtId="0" fontId="12" fillId="6" borderId="2" xfId="0" applyFont="1" applyFill="1" applyBorder="1" applyAlignment="1">
      <alignment horizontal="right" vertical="center" indent="1"/>
    </xf>
    <xf numFmtId="0" fontId="14" fillId="2" borderId="2" xfId="0" applyFont="1" applyFill="1" applyBorder="1" applyAlignment="1">
      <alignment horizontal="right" vertical="center" indent="1"/>
    </xf>
    <xf numFmtId="0" fontId="11" fillId="0" borderId="4" xfId="0" applyFont="1" applyBorder="1" applyAlignment="1">
      <alignment horizontal="left" vertical="center" indent="1"/>
    </xf>
    <xf numFmtId="0" fontId="11" fillId="0" borderId="5" xfId="0" applyFont="1" applyBorder="1" applyAlignment="1">
      <alignment horizontal="left" vertical="center" indent="1"/>
    </xf>
    <xf numFmtId="0" fontId="11" fillId="0" borderId="6" xfId="0" applyFont="1" applyBorder="1" applyAlignment="1">
      <alignment horizontal="left" vertical="center" indent="1"/>
    </xf>
    <xf numFmtId="0" fontId="11" fillId="0" borderId="1" xfId="0" applyFont="1" applyBorder="1" applyAlignment="1">
      <alignment horizontal="left" vertical="center" indent="1"/>
    </xf>
    <xf numFmtId="0" fontId="9" fillId="0" borderId="0" xfId="0" applyFont="1"/>
    <xf numFmtId="0" fontId="10" fillId="2" borderId="0" xfId="0" applyFont="1" applyFill="1" applyAlignment="1">
      <alignment horizontal="center" vertical="center" wrapText="1"/>
    </xf>
    <xf numFmtId="0" fontId="7" fillId="0" borderId="0" xfId="0" applyFont="1"/>
    <xf numFmtId="0" fontId="8" fillId="4" borderId="1" xfId="0" applyFont="1" applyFill="1" applyBorder="1" applyAlignment="1">
      <alignment horizontal="center" vertical="center"/>
    </xf>
    <xf numFmtId="0" fontId="5" fillId="0" borderId="1" xfId="0" applyFont="1" applyBorder="1" applyAlignment="1">
      <alignment horizontal="center" vertical="center" wrapText="1"/>
    </xf>
    <xf numFmtId="0" fontId="3" fillId="0" borderId="0" xfId="0" applyFont="1"/>
    <xf numFmtId="0" fontId="4" fillId="0" borderId="0" xfId="0" applyFont="1" applyAlignment="1">
      <alignment horizontal="right" vertical="center"/>
    </xf>
    <xf numFmtId="0" fontId="5" fillId="0" borderId="0" xfId="0" applyFont="1" applyAlignment="1">
      <alignment horizontal="left" vertical="center" indent="1"/>
    </xf>
    <xf numFmtId="0" fontId="6" fillId="0" borderId="0" xfId="0" applyFont="1"/>
    <xf numFmtId="0" fontId="1" fillId="0" borderId="0" xfId="0" applyFont="1"/>
    <xf numFmtId="0" fontId="2" fillId="0" borderId="0" xfId="0" applyFont="1" applyAlignment="1">
      <alignment horizontal="center" vertical="center"/>
    </xf>
    <xf numFmtId="0" fontId="16" fillId="5" borderId="3" xfId="0" applyFont="1" applyFill="1" applyBorder="1" applyAlignment="1">
      <alignment horizontal="left" vertical="center" wrapText="1" indent="1"/>
    </xf>
    <xf numFmtId="0" fontId="16" fillId="0" borderId="1" xfId="0" applyFont="1" applyBorder="1" applyAlignment="1">
      <alignment horizontal="left" vertical="center" wrapText="1" indent="1"/>
    </xf>
    <xf numFmtId="164" fontId="15" fillId="2" borderId="7" xfId="0" applyNumberFormat="1" applyFont="1" applyFill="1" applyBorder="1" applyAlignment="1">
      <alignment horizontal="right" vertical="center" indent="1"/>
    </xf>
    <xf numFmtId="164" fontId="15" fillId="2" borderId="8" xfId="0" applyNumberFormat="1" applyFont="1" applyFill="1" applyBorder="1" applyAlignment="1">
      <alignment horizontal="right" vertical="center" indent="1"/>
    </xf>
    <xf numFmtId="164" fontId="13" fillId="6" borderId="7" xfId="0" applyNumberFormat="1" applyFont="1" applyFill="1" applyBorder="1" applyAlignment="1">
      <alignment horizontal="right" vertical="center" indent="1"/>
    </xf>
    <xf numFmtId="164" fontId="13" fillId="6" borderId="8" xfId="0" applyNumberFormat="1" applyFont="1" applyFill="1" applyBorder="1" applyAlignment="1">
      <alignment horizontal="righ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7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6365C"/>
      <rgbColor rgb="FF2E9E9E"/>
      <rgbColor rgb="FF003300"/>
      <rgbColor rgb="FF333300"/>
      <rgbColor rgb="FF993300"/>
      <rgbColor rgb="FF993366"/>
      <rgbColor rgb="FF1F4E78"/>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491400</xdr:colOff>
      <xdr:row>4</xdr:row>
      <xdr:rowOff>104760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06200" y="76320"/>
          <a:ext cx="1618920" cy="676080"/>
        </a:xfrm>
        <a:prstGeom prst="rect">
          <a:avLst/>
        </a:prstGeom>
        <a:ln w="0">
          <a:noFill/>
        </a:ln>
      </xdr:spPr>
    </xdr:pic>
    <xdr:clientData/>
  </xdr:twoCellAnchor>
  <xdr:twoCellAnchor editAs="oneCell">
    <xdr:from>
      <xdr:col>2</xdr:col>
      <xdr:colOff>0</xdr:colOff>
      <xdr:row>18</xdr:row>
      <xdr:rowOff>0</xdr:rowOff>
    </xdr:from>
    <xdr:to>
      <xdr:col>2</xdr:col>
      <xdr:colOff>552240</xdr:colOff>
      <xdr:row>18</xdr:row>
      <xdr:rowOff>552240</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458640" y="2800440"/>
          <a:ext cx="552240" cy="552240"/>
        </a:xfrm>
        <a:prstGeom prst="rect">
          <a:avLst/>
        </a:prstGeom>
        <a:ln w="0">
          <a:noFill/>
        </a:ln>
      </xdr:spPr>
    </xdr:pic>
    <xdr:clientData/>
  </xdr:twoCellAnchor>
  <xdr:twoCellAnchor editAs="oneCell">
    <xdr:from>
      <xdr:col>2</xdr:col>
      <xdr:colOff>0</xdr:colOff>
      <xdr:row>19</xdr:row>
      <xdr:rowOff>0</xdr:rowOff>
    </xdr:from>
    <xdr:to>
      <xdr:col>2</xdr:col>
      <xdr:colOff>552240</xdr:colOff>
      <xdr:row>19</xdr:row>
      <xdr:rowOff>552240</xdr:rowOff>
    </xdr:to>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458640" y="3381480"/>
          <a:ext cx="552240" cy="552240"/>
        </a:xfrm>
        <a:prstGeom prst="rect">
          <a:avLst/>
        </a:prstGeom>
        <a:ln w="0">
          <a:noFill/>
        </a:ln>
      </xdr:spPr>
    </xdr:pic>
    <xdr:clientData/>
  </xdr:twoCellAnchor>
  <xdr:twoCellAnchor editAs="oneCell">
    <xdr:from>
      <xdr:col>2</xdr:col>
      <xdr:colOff>0</xdr:colOff>
      <xdr:row>20</xdr:row>
      <xdr:rowOff>0</xdr:rowOff>
    </xdr:from>
    <xdr:to>
      <xdr:col>2</xdr:col>
      <xdr:colOff>552240</xdr:colOff>
      <xdr:row>20</xdr:row>
      <xdr:rowOff>552240</xdr:rowOff>
    </xdr:to>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xdr:blipFill>
      <xdr:spPr>
        <a:xfrm>
          <a:off x="458640" y="3962520"/>
          <a:ext cx="552240" cy="552240"/>
        </a:xfrm>
        <a:prstGeom prst="rect">
          <a:avLst/>
        </a:prstGeom>
        <a:ln w="0">
          <a:noFill/>
        </a:ln>
      </xdr:spPr>
    </xdr:pic>
    <xdr:clientData/>
  </xdr:twoCellAnchor>
  <xdr:twoCellAnchor editAs="oneCell">
    <xdr:from>
      <xdr:col>2</xdr:col>
      <xdr:colOff>0</xdr:colOff>
      <xdr:row>21</xdr:row>
      <xdr:rowOff>0</xdr:rowOff>
    </xdr:from>
    <xdr:to>
      <xdr:col>2</xdr:col>
      <xdr:colOff>552240</xdr:colOff>
      <xdr:row>21</xdr:row>
      <xdr:rowOff>552240</xdr:rowOff>
    </xdr:to>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xdr:blipFill>
      <xdr:spPr>
        <a:xfrm>
          <a:off x="458640" y="4543560"/>
          <a:ext cx="552240" cy="552240"/>
        </a:xfrm>
        <a:prstGeom prst="rect">
          <a:avLst/>
        </a:prstGeom>
        <a:ln w="0">
          <a:noFill/>
        </a:ln>
      </xdr:spPr>
    </xdr:pic>
    <xdr:clientData/>
  </xdr:twoCellAnchor>
  <xdr:twoCellAnchor editAs="oneCell">
    <xdr:from>
      <xdr:col>2</xdr:col>
      <xdr:colOff>0</xdr:colOff>
      <xdr:row>22</xdr:row>
      <xdr:rowOff>0</xdr:rowOff>
    </xdr:from>
    <xdr:to>
      <xdr:col>2</xdr:col>
      <xdr:colOff>552240</xdr:colOff>
      <xdr:row>22</xdr:row>
      <xdr:rowOff>552240</xdr:rowOff>
    </xdr:to>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a:stretch/>
      </xdr:blipFill>
      <xdr:spPr>
        <a:xfrm>
          <a:off x="458640" y="5124600"/>
          <a:ext cx="552240" cy="552240"/>
        </a:xfrm>
        <a:prstGeom prst="rect">
          <a:avLst/>
        </a:prstGeom>
        <a:ln w="0">
          <a:noFill/>
        </a:ln>
      </xdr:spPr>
    </xdr:pic>
    <xdr:clientData/>
  </xdr:twoCellAnchor>
  <xdr:twoCellAnchor editAs="oneCell">
    <xdr:from>
      <xdr:col>2</xdr:col>
      <xdr:colOff>0</xdr:colOff>
      <xdr:row>23</xdr:row>
      <xdr:rowOff>0</xdr:rowOff>
    </xdr:from>
    <xdr:to>
      <xdr:col>2</xdr:col>
      <xdr:colOff>552240</xdr:colOff>
      <xdr:row>23</xdr:row>
      <xdr:rowOff>552240</xdr:rowOff>
    </xdr:to>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6"/>
        <a:stretch/>
      </xdr:blipFill>
      <xdr:spPr>
        <a:xfrm>
          <a:off x="458640" y="5705640"/>
          <a:ext cx="552240" cy="552240"/>
        </a:xfrm>
        <a:prstGeom prst="rect">
          <a:avLst/>
        </a:prstGeom>
        <a:ln w="0">
          <a:noFill/>
        </a:ln>
      </xdr:spPr>
    </xdr:pic>
    <xdr:clientData/>
  </xdr:twoCellAnchor>
  <xdr:twoCellAnchor editAs="oneCell">
    <xdr:from>
      <xdr:col>2</xdr:col>
      <xdr:colOff>0</xdr:colOff>
      <xdr:row>24</xdr:row>
      <xdr:rowOff>0</xdr:rowOff>
    </xdr:from>
    <xdr:to>
      <xdr:col>2</xdr:col>
      <xdr:colOff>552240</xdr:colOff>
      <xdr:row>24</xdr:row>
      <xdr:rowOff>552240</xdr:rowOff>
    </xdr:to>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a:stretch/>
      </xdr:blipFill>
      <xdr:spPr>
        <a:xfrm>
          <a:off x="458640" y="6286680"/>
          <a:ext cx="552240" cy="552240"/>
        </a:xfrm>
        <a:prstGeom prst="rect">
          <a:avLst/>
        </a:prstGeom>
        <a:ln w="0">
          <a:noFill/>
        </a:ln>
      </xdr:spPr>
    </xdr:pic>
    <xdr:clientData/>
  </xdr:twoCellAnchor>
  <xdr:twoCellAnchor editAs="oneCell">
    <xdr:from>
      <xdr:col>2</xdr:col>
      <xdr:colOff>0</xdr:colOff>
      <xdr:row>25</xdr:row>
      <xdr:rowOff>0</xdr:rowOff>
    </xdr:from>
    <xdr:to>
      <xdr:col>2</xdr:col>
      <xdr:colOff>552240</xdr:colOff>
      <xdr:row>25</xdr:row>
      <xdr:rowOff>552240</xdr:rowOff>
    </xdr:to>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7"/>
        <a:stretch/>
      </xdr:blipFill>
      <xdr:spPr>
        <a:xfrm>
          <a:off x="458640" y="6867360"/>
          <a:ext cx="552240" cy="552240"/>
        </a:xfrm>
        <a:prstGeom prst="rect">
          <a:avLst/>
        </a:prstGeom>
        <a:ln w="0">
          <a:noFill/>
        </a:ln>
      </xdr:spPr>
    </xdr:pic>
    <xdr:clientData/>
  </xdr:twoCellAnchor>
  <xdr:twoCellAnchor editAs="oneCell">
    <xdr:from>
      <xdr:col>2</xdr:col>
      <xdr:colOff>0</xdr:colOff>
      <xdr:row>26</xdr:row>
      <xdr:rowOff>0</xdr:rowOff>
    </xdr:from>
    <xdr:to>
      <xdr:col>2</xdr:col>
      <xdr:colOff>552240</xdr:colOff>
      <xdr:row>26</xdr:row>
      <xdr:rowOff>552240</xdr:rowOff>
    </xdr:to>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7"/>
        <a:stretch/>
      </xdr:blipFill>
      <xdr:spPr>
        <a:xfrm>
          <a:off x="458640" y="7448400"/>
          <a:ext cx="552240" cy="552240"/>
        </a:xfrm>
        <a:prstGeom prst="rect">
          <a:avLst/>
        </a:prstGeom>
        <a:ln w="0">
          <a:noFill/>
        </a:ln>
      </xdr:spPr>
    </xdr:pic>
    <xdr:clientData/>
  </xdr:twoCellAnchor>
  <xdr:twoCellAnchor editAs="oneCell">
    <xdr:from>
      <xdr:col>2</xdr:col>
      <xdr:colOff>0</xdr:colOff>
      <xdr:row>27</xdr:row>
      <xdr:rowOff>0</xdr:rowOff>
    </xdr:from>
    <xdr:to>
      <xdr:col>2</xdr:col>
      <xdr:colOff>552240</xdr:colOff>
      <xdr:row>27</xdr:row>
      <xdr:rowOff>552240</xdr:rowOff>
    </xdr:to>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8"/>
        <a:stretch/>
      </xdr:blipFill>
      <xdr:spPr>
        <a:xfrm>
          <a:off x="458640" y="8029440"/>
          <a:ext cx="552240" cy="552240"/>
        </a:xfrm>
        <a:prstGeom prst="rect">
          <a:avLst/>
        </a:prstGeom>
        <a:ln w="0">
          <a:noFill/>
        </a:ln>
      </xdr:spPr>
    </xdr:pic>
    <xdr:clientData/>
  </xdr:twoCellAnchor>
  <xdr:twoCellAnchor editAs="oneCell">
    <xdr:from>
      <xdr:col>2</xdr:col>
      <xdr:colOff>0</xdr:colOff>
      <xdr:row>28</xdr:row>
      <xdr:rowOff>0</xdr:rowOff>
    </xdr:from>
    <xdr:to>
      <xdr:col>2</xdr:col>
      <xdr:colOff>552240</xdr:colOff>
      <xdr:row>28</xdr:row>
      <xdr:rowOff>552240</xdr:rowOff>
    </xdr:to>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9"/>
        <a:stretch/>
      </xdr:blipFill>
      <xdr:spPr>
        <a:xfrm>
          <a:off x="458640" y="8610480"/>
          <a:ext cx="552240" cy="552240"/>
        </a:xfrm>
        <a:prstGeom prst="rect">
          <a:avLst/>
        </a:prstGeom>
        <a:ln w="0">
          <a:noFill/>
        </a:ln>
      </xdr:spPr>
    </xdr:pic>
    <xdr:clientData/>
  </xdr:twoCellAnchor>
  <xdr:twoCellAnchor editAs="oneCell">
    <xdr:from>
      <xdr:col>2</xdr:col>
      <xdr:colOff>0</xdr:colOff>
      <xdr:row>29</xdr:row>
      <xdr:rowOff>0</xdr:rowOff>
    </xdr:from>
    <xdr:to>
      <xdr:col>2</xdr:col>
      <xdr:colOff>552240</xdr:colOff>
      <xdr:row>29</xdr:row>
      <xdr:rowOff>552240</xdr:rowOff>
    </xdr:to>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9"/>
        <a:stretch/>
      </xdr:blipFill>
      <xdr:spPr>
        <a:xfrm>
          <a:off x="458640" y="9191520"/>
          <a:ext cx="552240" cy="5522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7"/>
  <sheetViews>
    <sheetView showGridLines="0" tabSelected="1" view="pageBreakPreview" topLeftCell="A25" zoomScaleNormal="100" workbookViewId="0">
      <selection activeCell="L36" sqref="L36:M36"/>
    </sheetView>
  </sheetViews>
  <sheetFormatPr defaultColWidth="8.7109375" defaultRowHeight="15" x14ac:dyDescent="0.25"/>
  <cols>
    <col min="1" max="1" width="1.5703125" customWidth="1"/>
    <col min="2" max="2" width="5" customWidth="1"/>
    <col min="3" max="3" width="11" customWidth="1"/>
    <col min="4" max="4" width="12" customWidth="1"/>
    <col min="5" max="5" width="27" customWidth="1"/>
    <col min="6" max="6" width="13" customWidth="1"/>
    <col min="7" max="7" width="8" customWidth="1"/>
    <col min="8" max="8" width="15" customWidth="1"/>
    <col min="9" max="9" width="9" customWidth="1"/>
    <col min="10" max="10" width="7.42578125" customWidth="1"/>
    <col min="11" max="11" width="12" customWidth="1"/>
    <col min="12" max="12" width="13" customWidth="1"/>
    <col min="13" max="13" width="10" customWidth="1"/>
    <col min="14" max="14" width="15" customWidth="1"/>
    <col min="15" max="15" width="1.5703125" customWidth="1"/>
  </cols>
  <sheetData>
    <row r="1" spans="1:15" ht="6" customHeight="1" x14ac:dyDescent="0.25">
      <c r="A1" s="1"/>
      <c r="B1" s="1"/>
      <c r="C1" s="1"/>
      <c r="D1" s="1"/>
      <c r="E1" s="1"/>
      <c r="F1" s="1"/>
      <c r="G1" s="1"/>
      <c r="H1" s="1"/>
      <c r="I1" s="1"/>
      <c r="J1" s="1"/>
      <c r="K1" s="1"/>
      <c r="L1" s="1"/>
      <c r="M1" s="1"/>
      <c r="N1" s="1"/>
      <c r="O1" s="1"/>
    </row>
    <row r="2" spans="1:15" ht="15" customHeight="1" x14ac:dyDescent="0.3">
      <c r="E2" s="35" t="s">
        <v>0</v>
      </c>
      <c r="F2" s="35"/>
      <c r="G2" s="35"/>
      <c r="H2" s="35"/>
      <c r="I2" s="35"/>
      <c r="J2" s="35"/>
      <c r="K2" s="36" t="s">
        <v>1</v>
      </c>
      <c r="L2" s="36"/>
      <c r="M2" s="36"/>
      <c r="N2" s="36"/>
    </row>
    <row r="3" spans="1:15" ht="15" customHeight="1" x14ac:dyDescent="0.25">
      <c r="E3" s="31" t="s">
        <v>103</v>
      </c>
      <c r="F3" s="31"/>
      <c r="G3" s="31"/>
      <c r="H3" s="31"/>
      <c r="I3" s="31"/>
      <c r="J3" s="31"/>
      <c r="K3" s="36"/>
      <c r="L3" s="36"/>
      <c r="M3" s="36"/>
      <c r="N3" s="36"/>
    </row>
    <row r="4" spans="1:15" ht="15" customHeight="1" x14ac:dyDescent="0.25">
      <c r="E4" s="31" t="s">
        <v>2</v>
      </c>
      <c r="F4" s="31"/>
      <c r="G4" s="31"/>
      <c r="H4" s="31"/>
      <c r="I4" s="31"/>
      <c r="J4" s="31"/>
      <c r="K4" s="32" t="s">
        <v>3</v>
      </c>
      <c r="L4" s="32"/>
      <c r="M4" s="33" t="s">
        <v>4</v>
      </c>
      <c r="N4" s="33"/>
    </row>
    <row r="5" spans="1:15" ht="15" customHeight="1" x14ac:dyDescent="0.25">
      <c r="E5" s="31" t="s">
        <v>5</v>
      </c>
      <c r="F5" s="31"/>
      <c r="G5" s="31"/>
      <c r="H5" s="31"/>
      <c r="I5" s="31"/>
      <c r="J5" s="31"/>
      <c r="K5" s="32" t="s">
        <v>6</v>
      </c>
      <c r="L5" s="32"/>
      <c r="M5" s="33" t="s">
        <v>7</v>
      </c>
      <c r="N5" s="33"/>
    </row>
    <row r="6" spans="1:15" ht="3.75" customHeight="1" x14ac:dyDescent="0.25">
      <c r="B6" s="2"/>
      <c r="C6" s="2"/>
      <c r="D6" s="2"/>
      <c r="E6" s="2"/>
      <c r="F6" s="2"/>
      <c r="G6" s="2"/>
      <c r="H6" s="2"/>
      <c r="I6" s="2"/>
      <c r="J6" s="2"/>
      <c r="K6" s="2"/>
      <c r="L6" s="2"/>
      <c r="M6" s="2"/>
      <c r="N6" s="2"/>
    </row>
    <row r="7" spans="1:15" ht="6" customHeight="1" x14ac:dyDescent="0.25"/>
    <row r="8" spans="1:15" ht="15.75" x14ac:dyDescent="0.25">
      <c r="B8" s="34" t="s">
        <v>8</v>
      </c>
      <c r="C8" s="34"/>
      <c r="D8" s="34"/>
      <c r="E8" s="34"/>
      <c r="F8" s="34"/>
      <c r="G8" s="34"/>
      <c r="H8" s="34"/>
      <c r="I8" s="34"/>
      <c r="J8" s="34"/>
      <c r="K8" s="34"/>
      <c r="L8" s="34"/>
      <c r="M8" s="34"/>
      <c r="N8" s="34"/>
    </row>
    <row r="9" spans="1:15" x14ac:dyDescent="0.25">
      <c r="B9" s="28" t="s">
        <v>9</v>
      </c>
      <c r="C9" s="28"/>
      <c r="D9" s="28"/>
      <c r="E9" s="28"/>
      <c r="F9" s="28"/>
      <c r="G9" s="28"/>
      <c r="H9" s="28" t="s">
        <v>10</v>
      </c>
      <c r="I9" s="28"/>
      <c r="J9" s="28"/>
      <c r="K9" s="28"/>
      <c r="L9" s="28"/>
      <c r="M9" s="28"/>
      <c r="N9" s="28"/>
    </row>
    <row r="10" spans="1:15" x14ac:dyDescent="0.25">
      <c r="B10" s="28" t="s">
        <v>11</v>
      </c>
      <c r="C10" s="28"/>
      <c r="D10" s="28"/>
      <c r="E10" s="28"/>
      <c r="F10" s="28"/>
      <c r="G10" s="28"/>
      <c r="H10" s="28"/>
      <c r="I10" s="28"/>
      <c r="J10" s="28"/>
      <c r="K10" s="28"/>
      <c r="L10" s="28"/>
      <c r="M10" s="28"/>
      <c r="N10" s="28"/>
    </row>
    <row r="11" spans="1:15" ht="4.5" customHeight="1" x14ac:dyDescent="0.25"/>
    <row r="12" spans="1:15" ht="13.5" customHeight="1" x14ac:dyDescent="0.25">
      <c r="B12" s="29" t="s">
        <v>12</v>
      </c>
      <c r="C12" s="29"/>
      <c r="D12" s="29"/>
      <c r="E12" s="29"/>
      <c r="F12" s="29" t="s">
        <v>13</v>
      </c>
      <c r="G12" s="29"/>
      <c r="H12" s="29"/>
      <c r="I12" s="29"/>
      <c r="J12" s="29" t="s">
        <v>14</v>
      </c>
      <c r="K12" s="29"/>
      <c r="L12" s="29"/>
      <c r="M12" s="29"/>
      <c r="N12" s="29"/>
    </row>
    <row r="13" spans="1:15" ht="25.5" customHeight="1" x14ac:dyDescent="0.25">
      <c r="B13" s="30" t="s">
        <v>15</v>
      </c>
      <c r="C13" s="30"/>
      <c r="D13" s="30"/>
      <c r="E13" s="30"/>
      <c r="F13" s="30" t="s">
        <v>16</v>
      </c>
      <c r="G13" s="30"/>
      <c r="H13" s="30"/>
      <c r="I13" s="30"/>
      <c r="J13" s="30" t="s">
        <v>17</v>
      </c>
      <c r="K13" s="30"/>
      <c r="L13" s="30"/>
      <c r="M13" s="30"/>
      <c r="N13" s="30"/>
    </row>
    <row r="14" spans="1:15" ht="6" customHeight="1" x14ac:dyDescent="0.25"/>
    <row r="15" spans="1:15" ht="13.5" customHeight="1" x14ac:dyDescent="0.25">
      <c r="B15" s="26" t="s">
        <v>18</v>
      </c>
      <c r="C15" s="26"/>
      <c r="D15" s="26"/>
      <c r="E15" s="26"/>
      <c r="F15" s="26"/>
      <c r="G15" s="26"/>
      <c r="H15" s="26"/>
      <c r="I15" s="26"/>
      <c r="J15" s="26"/>
      <c r="K15" s="26"/>
      <c r="L15" s="26"/>
      <c r="M15" s="26"/>
      <c r="N15" s="26"/>
    </row>
    <row r="16" spans="1:15" ht="3.75" customHeight="1" x14ac:dyDescent="0.25"/>
    <row r="17" spans="2:14" ht="19.5" customHeight="1" x14ac:dyDescent="0.25">
      <c r="B17" s="27" t="s">
        <v>19</v>
      </c>
      <c r="C17" s="27" t="s">
        <v>20</v>
      </c>
      <c r="D17" s="27" t="s">
        <v>21</v>
      </c>
      <c r="E17" s="27" t="s">
        <v>22</v>
      </c>
      <c r="F17" s="27" t="s">
        <v>23</v>
      </c>
      <c r="G17" s="27" t="s">
        <v>24</v>
      </c>
      <c r="H17" s="27" t="s">
        <v>25</v>
      </c>
      <c r="I17" s="27" t="s">
        <v>26</v>
      </c>
      <c r="J17" s="27" t="s">
        <v>27</v>
      </c>
      <c r="K17" s="27" t="s">
        <v>28</v>
      </c>
      <c r="L17" s="27" t="s">
        <v>29</v>
      </c>
      <c r="M17" s="27" t="s">
        <v>30</v>
      </c>
      <c r="N17" s="27" t="s">
        <v>31</v>
      </c>
    </row>
    <row r="18" spans="2:14" ht="13.5" customHeight="1" x14ac:dyDescent="0.25">
      <c r="B18" s="27"/>
      <c r="C18" s="27"/>
      <c r="D18" s="27"/>
      <c r="E18" s="27"/>
      <c r="F18" s="27"/>
      <c r="G18" s="27"/>
      <c r="H18" s="27"/>
      <c r="I18" s="27"/>
      <c r="J18" s="27"/>
      <c r="K18" s="27"/>
      <c r="L18" s="27"/>
      <c r="M18" s="27"/>
      <c r="N18" s="27"/>
    </row>
    <row r="19" spans="2:14" ht="45.75" customHeight="1" x14ac:dyDescent="0.25">
      <c r="B19" s="3">
        <v>1</v>
      </c>
      <c r="C19" s="4"/>
      <c r="D19" s="4" t="s">
        <v>32</v>
      </c>
      <c r="E19" s="4" t="s">
        <v>33</v>
      </c>
      <c r="F19" s="5" t="s">
        <v>34</v>
      </c>
      <c r="G19" s="4" t="s">
        <v>35</v>
      </c>
      <c r="H19" s="4" t="s">
        <v>36</v>
      </c>
      <c r="I19" s="5">
        <v>9.6</v>
      </c>
      <c r="J19" s="4" t="s">
        <v>37</v>
      </c>
      <c r="K19" s="4">
        <v>350000</v>
      </c>
      <c r="L19" s="6">
        <f t="shared" ref="L19:L30" si="0">K19*I19</f>
        <v>3360000</v>
      </c>
      <c r="M19" s="6" t="s">
        <v>38</v>
      </c>
      <c r="N19" s="4" t="s">
        <v>39</v>
      </c>
    </row>
    <row r="20" spans="2:14" ht="45.75" customHeight="1" x14ac:dyDescent="0.25">
      <c r="B20" s="7">
        <v>2</v>
      </c>
      <c r="C20" s="8"/>
      <c r="D20" s="8" t="s">
        <v>40</v>
      </c>
      <c r="E20" s="8" t="s">
        <v>41</v>
      </c>
      <c r="F20" s="9" t="s">
        <v>42</v>
      </c>
      <c r="G20" s="8" t="s">
        <v>43</v>
      </c>
      <c r="H20" s="8" t="s">
        <v>44</v>
      </c>
      <c r="I20" s="9">
        <v>2.5</v>
      </c>
      <c r="J20" s="8" t="s">
        <v>37</v>
      </c>
      <c r="K20" s="8">
        <v>380000</v>
      </c>
      <c r="L20" s="10">
        <f t="shared" si="0"/>
        <v>950000</v>
      </c>
      <c r="M20" s="10" t="s">
        <v>38</v>
      </c>
      <c r="N20" s="8" t="s">
        <v>45</v>
      </c>
    </row>
    <row r="21" spans="2:14" ht="45.75" customHeight="1" x14ac:dyDescent="0.25">
      <c r="B21" s="3">
        <v>3</v>
      </c>
      <c r="C21" s="4"/>
      <c r="D21" s="4" t="s">
        <v>46</v>
      </c>
      <c r="E21" s="4" t="s">
        <v>41</v>
      </c>
      <c r="F21" s="5" t="s">
        <v>42</v>
      </c>
      <c r="G21" s="4" t="s">
        <v>43</v>
      </c>
      <c r="H21" s="4" t="s">
        <v>44</v>
      </c>
      <c r="I21" s="5">
        <v>33</v>
      </c>
      <c r="J21" s="4" t="s">
        <v>37</v>
      </c>
      <c r="K21" s="4">
        <v>380000</v>
      </c>
      <c r="L21" s="6">
        <f t="shared" si="0"/>
        <v>12540000</v>
      </c>
      <c r="M21" s="6" t="s">
        <v>38</v>
      </c>
      <c r="N21" s="4" t="s">
        <v>47</v>
      </c>
    </row>
    <row r="22" spans="2:14" ht="45.75" customHeight="1" x14ac:dyDescent="0.25">
      <c r="B22" s="7">
        <v>4</v>
      </c>
      <c r="C22" s="8"/>
      <c r="D22" s="8" t="s">
        <v>48</v>
      </c>
      <c r="E22" s="8" t="s">
        <v>49</v>
      </c>
      <c r="F22" s="9" t="s">
        <v>50</v>
      </c>
      <c r="G22" s="8" t="s">
        <v>43</v>
      </c>
      <c r="H22" s="8" t="s">
        <v>51</v>
      </c>
      <c r="I22" s="9">
        <v>27</v>
      </c>
      <c r="J22" s="8" t="s">
        <v>37</v>
      </c>
      <c r="K22" s="8">
        <v>660000</v>
      </c>
      <c r="L22" s="10">
        <f t="shared" si="0"/>
        <v>17820000</v>
      </c>
      <c r="M22" s="10" t="s">
        <v>38</v>
      </c>
      <c r="N22" s="8" t="s">
        <v>52</v>
      </c>
    </row>
    <row r="23" spans="2:14" ht="45.75" customHeight="1" x14ac:dyDescent="0.25">
      <c r="B23" s="3">
        <v>5</v>
      </c>
      <c r="C23" s="4"/>
      <c r="D23" s="4" t="s">
        <v>53</v>
      </c>
      <c r="E23" s="4" t="s">
        <v>54</v>
      </c>
      <c r="F23" s="5" t="s">
        <v>34</v>
      </c>
      <c r="G23" s="4" t="s">
        <v>35</v>
      </c>
      <c r="H23" s="4" t="s">
        <v>36</v>
      </c>
      <c r="I23" s="5">
        <v>84.48</v>
      </c>
      <c r="J23" s="4" t="s">
        <v>37</v>
      </c>
      <c r="K23" s="4">
        <v>450000</v>
      </c>
      <c r="L23" s="6">
        <f t="shared" si="0"/>
        <v>38016000</v>
      </c>
      <c r="M23" s="6" t="s">
        <v>38</v>
      </c>
      <c r="N23" s="4" t="s">
        <v>55</v>
      </c>
    </row>
    <row r="24" spans="2:14" ht="45.75" customHeight="1" x14ac:dyDescent="0.25">
      <c r="B24" s="7">
        <v>6</v>
      </c>
      <c r="C24" s="8"/>
      <c r="D24" s="8" t="s">
        <v>53</v>
      </c>
      <c r="E24" s="8" t="s">
        <v>56</v>
      </c>
      <c r="F24" s="9" t="s">
        <v>57</v>
      </c>
      <c r="G24" s="8" t="s">
        <v>35</v>
      </c>
      <c r="H24" s="8" t="s">
        <v>36</v>
      </c>
      <c r="I24" s="9">
        <v>1.92</v>
      </c>
      <c r="J24" s="8" t="s">
        <v>37</v>
      </c>
      <c r="K24" s="8">
        <v>450000</v>
      </c>
      <c r="L24" s="10">
        <f t="shared" si="0"/>
        <v>864000</v>
      </c>
      <c r="M24" s="10" t="s">
        <v>38</v>
      </c>
      <c r="N24" s="8" t="s">
        <v>58</v>
      </c>
    </row>
    <row r="25" spans="2:14" ht="45.75" customHeight="1" x14ac:dyDescent="0.25">
      <c r="B25" s="3">
        <v>7</v>
      </c>
      <c r="C25" s="4"/>
      <c r="D25" s="4" t="s">
        <v>53</v>
      </c>
      <c r="E25" s="4" t="s">
        <v>59</v>
      </c>
      <c r="F25" s="5" t="s">
        <v>60</v>
      </c>
      <c r="G25" s="4" t="s">
        <v>35</v>
      </c>
      <c r="H25" s="4" t="s">
        <v>36</v>
      </c>
      <c r="I25" s="5">
        <v>1.92</v>
      </c>
      <c r="J25" s="4" t="s">
        <v>37</v>
      </c>
      <c r="K25" s="4">
        <v>450000</v>
      </c>
      <c r="L25" s="6">
        <f t="shared" si="0"/>
        <v>864000</v>
      </c>
      <c r="M25" s="6" t="s">
        <v>38</v>
      </c>
      <c r="N25" s="4" t="s">
        <v>61</v>
      </c>
    </row>
    <row r="26" spans="2:14" ht="45.75" customHeight="1" x14ac:dyDescent="0.25">
      <c r="B26" s="7">
        <v>9</v>
      </c>
      <c r="C26" s="8"/>
      <c r="D26" s="8" t="s">
        <v>62</v>
      </c>
      <c r="E26" s="8" t="s">
        <v>63</v>
      </c>
      <c r="F26" s="9" t="s">
        <v>64</v>
      </c>
      <c r="G26" s="8" t="s">
        <v>35</v>
      </c>
      <c r="H26" s="8" t="s">
        <v>65</v>
      </c>
      <c r="I26" s="9">
        <v>74.88</v>
      </c>
      <c r="J26" s="8" t="s">
        <v>37</v>
      </c>
      <c r="K26" s="8">
        <v>240000</v>
      </c>
      <c r="L26" s="10">
        <f t="shared" si="0"/>
        <v>17971200</v>
      </c>
      <c r="M26" s="10" t="s">
        <v>66</v>
      </c>
      <c r="N26" s="8" t="s">
        <v>67</v>
      </c>
    </row>
    <row r="27" spans="2:14" ht="45.75" customHeight="1" x14ac:dyDescent="0.25">
      <c r="B27" s="3">
        <v>10</v>
      </c>
      <c r="C27" s="4"/>
      <c r="D27" s="4" t="s">
        <v>62</v>
      </c>
      <c r="E27" s="4" t="s">
        <v>68</v>
      </c>
      <c r="F27" s="5" t="s">
        <v>69</v>
      </c>
      <c r="G27" s="4" t="s">
        <v>35</v>
      </c>
      <c r="H27" s="4" t="s">
        <v>65</v>
      </c>
      <c r="I27" s="5">
        <v>4.32</v>
      </c>
      <c r="J27" s="4" t="s">
        <v>37</v>
      </c>
      <c r="K27" s="4">
        <v>240000</v>
      </c>
      <c r="L27" s="6">
        <f t="shared" si="0"/>
        <v>1036800.0000000001</v>
      </c>
      <c r="M27" s="6" t="s">
        <v>66</v>
      </c>
      <c r="N27" s="4" t="s">
        <v>70</v>
      </c>
    </row>
    <row r="28" spans="2:14" ht="45.75" customHeight="1" x14ac:dyDescent="0.25">
      <c r="B28" s="7">
        <v>11</v>
      </c>
      <c r="C28" s="8"/>
      <c r="D28" s="8" t="s">
        <v>71</v>
      </c>
      <c r="E28" s="8" t="s">
        <v>72</v>
      </c>
      <c r="F28" s="9" t="s">
        <v>73</v>
      </c>
      <c r="G28" s="8" t="s">
        <v>43</v>
      </c>
      <c r="H28" s="8" t="s">
        <v>74</v>
      </c>
      <c r="I28" s="9">
        <v>14.4</v>
      </c>
      <c r="J28" s="8" t="s">
        <v>37</v>
      </c>
      <c r="K28" s="8">
        <v>130000</v>
      </c>
      <c r="L28" s="10">
        <f t="shared" si="0"/>
        <v>1872000</v>
      </c>
      <c r="M28" s="10" t="s">
        <v>66</v>
      </c>
      <c r="N28" s="8" t="s">
        <v>75</v>
      </c>
    </row>
    <row r="29" spans="2:14" ht="45.75" customHeight="1" x14ac:dyDescent="0.25">
      <c r="B29" s="3">
        <v>12</v>
      </c>
      <c r="C29" s="4"/>
      <c r="D29" s="4" t="s">
        <v>76</v>
      </c>
      <c r="E29" s="4" t="s">
        <v>77</v>
      </c>
      <c r="F29" s="5" t="s">
        <v>64</v>
      </c>
      <c r="G29" s="4" t="s">
        <v>35</v>
      </c>
      <c r="H29" s="4" t="s">
        <v>65</v>
      </c>
      <c r="I29" s="5">
        <v>8.64</v>
      </c>
      <c r="J29" s="4" t="s">
        <v>37</v>
      </c>
      <c r="K29" s="4">
        <v>260000</v>
      </c>
      <c r="L29" s="6">
        <f t="shared" si="0"/>
        <v>2246400</v>
      </c>
      <c r="M29" s="6" t="s">
        <v>66</v>
      </c>
      <c r="N29" s="4" t="s">
        <v>78</v>
      </c>
    </row>
    <row r="30" spans="2:14" ht="45.75" customHeight="1" x14ac:dyDescent="0.25">
      <c r="B30" s="7">
        <v>13</v>
      </c>
      <c r="C30" s="8"/>
      <c r="D30" s="8" t="s">
        <v>76</v>
      </c>
      <c r="E30" s="8" t="s">
        <v>68</v>
      </c>
      <c r="F30" s="9" t="s">
        <v>79</v>
      </c>
      <c r="G30" s="8" t="s">
        <v>35</v>
      </c>
      <c r="H30" s="8" t="s">
        <v>65</v>
      </c>
      <c r="I30" s="9">
        <v>2.88</v>
      </c>
      <c r="J30" s="8" t="s">
        <v>37</v>
      </c>
      <c r="K30" s="8">
        <v>260000</v>
      </c>
      <c r="L30" s="10">
        <f t="shared" si="0"/>
        <v>748800</v>
      </c>
      <c r="M30" s="10" t="s">
        <v>66</v>
      </c>
      <c r="N30" s="8" t="s">
        <v>61</v>
      </c>
    </row>
    <row r="31" spans="2:14" ht="15.75" customHeight="1" x14ac:dyDescent="0.25">
      <c r="B31" s="11">
        <v>14</v>
      </c>
      <c r="C31" s="22" t="s">
        <v>80</v>
      </c>
      <c r="D31" s="23"/>
      <c r="E31" s="23"/>
      <c r="F31" s="23"/>
      <c r="G31" s="23"/>
      <c r="H31" s="23"/>
      <c r="I31" s="23"/>
      <c r="J31" s="23"/>
      <c r="K31" s="24"/>
      <c r="L31" s="12">
        <v>180000</v>
      </c>
      <c r="M31" s="13"/>
      <c r="N31" s="14" t="s">
        <v>81</v>
      </c>
    </row>
    <row r="32" spans="2:14" ht="15.75" customHeight="1" x14ac:dyDescent="0.25">
      <c r="B32" s="11">
        <v>15</v>
      </c>
      <c r="C32" s="25" t="s">
        <v>82</v>
      </c>
      <c r="D32" s="25"/>
      <c r="E32" s="25"/>
      <c r="F32" s="25"/>
      <c r="G32" s="25"/>
      <c r="H32" s="25"/>
      <c r="I32" s="25"/>
      <c r="J32" s="25"/>
      <c r="K32" s="25"/>
      <c r="L32" s="12">
        <v>360000</v>
      </c>
      <c r="M32" s="13"/>
      <c r="N32" s="14" t="s">
        <v>83</v>
      </c>
    </row>
    <row r="33" spans="2:14" ht="15.75" customHeight="1" x14ac:dyDescent="0.25">
      <c r="B33" s="11">
        <v>16</v>
      </c>
      <c r="C33" s="25" t="s">
        <v>84</v>
      </c>
      <c r="D33" s="25"/>
      <c r="E33" s="25"/>
      <c r="F33" s="25"/>
      <c r="G33" s="25"/>
      <c r="H33" s="25"/>
      <c r="I33" s="25"/>
      <c r="J33" s="25"/>
      <c r="K33" s="25"/>
      <c r="L33" s="12">
        <v>480000</v>
      </c>
      <c r="M33" s="13"/>
      <c r="N33" s="14" t="s">
        <v>85</v>
      </c>
    </row>
    <row r="34" spans="2:14" ht="15.75" customHeight="1" x14ac:dyDescent="0.25">
      <c r="B34" s="11">
        <v>17</v>
      </c>
      <c r="C34" s="25" t="s">
        <v>86</v>
      </c>
      <c r="D34" s="25"/>
      <c r="E34" s="25"/>
      <c r="F34" s="25"/>
      <c r="G34" s="25"/>
      <c r="H34" s="25"/>
      <c r="I34" s="25"/>
      <c r="J34" s="25"/>
      <c r="K34" s="25"/>
      <c r="L34" s="12">
        <v>320000</v>
      </c>
      <c r="M34" s="13"/>
      <c r="N34" s="14" t="s">
        <v>87</v>
      </c>
    </row>
    <row r="35" spans="2:14" ht="15.75" customHeight="1" x14ac:dyDescent="0.25">
      <c r="B35" s="11">
        <v>18</v>
      </c>
      <c r="C35" s="25" t="s">
        <v>88</v>
      </c>
      <c r="D35" s="25"/>
      <c r="E35" s="25"/>
      <c r="F35" s="25"/>
      <c r="G35" s="25"/>
      <c r="H35" s="25"/>
      <c r="I35" s="25"/>
      <c r="J35" s="25"/>
      <c r="K35" s="25"/>
      <c r="L35" s="12">
        <v>11000000</v>
      </c>
      <c r="M35" s="13"/>
      <c r="N35" s="14"/>
    </row>
    <row r="36" spans="2:14" ht="19.5" customHeight="1" x14ac:dyDescent="0.25">
      <c r="H36" s="20" t="s">
        <v>89</v>
      </c>
      <c r="I36" s="20"/>
      <c r="J36" s="20"/>
      <c r="K36" s="20"/>
      <c r="L36" s="41">
        <f>SUM(L19:L35)</f>
        <v>110629200</v>
      </c>
      <c r="M36" s="42"/>
    </row>
    <row r="37" spans="2:14" ht="19.5" customHeight="1" x14ac:dyDescent="0.25">
      <c r="H37" s="20" t="s">
        <v>90</v>
      </c>
      <c r="I37" s="20"/>
      <c r="J37" s="20"/>
      <c r="K37" s="20"/>
      <c r="L37" s="41">
        <f>L36*0.08</f>
        <v>8850336</v>
      </c>
      <c r="M37" s="42"/>
    </row>
    <row r="38" spans="2:14" ht="19.5" customHeight="1" x14ac:dyDescent="0.25">
      <c r="H38" s="21" t="s">
        <v>91</v>
      </c>
      <c r="I38" s="21"/>
      <c r="J38" s="21"/>
      <c r="K38" s="21"/>
      <c r="L38" s="39">
        <f>L36+L37</f>
        <v>119479536</v>
      </c>
      <c r="M38" s="40"/>
    </row>
    <row r="39" spans="2:14" ht="6" customHeight="1" x14ac:dyDescent="0.25"/>
    <row r="40" spans="2:14" ht="15.75" customHeight="1" x14ac:dyDescent="0.25">
      <c r="B40" s="18" t="s">
        <v>92</v>
      </c>
      <c r="C40" s="18"/>
      <c r="D40" s="18"/>
      <c r="E40" s="18"/>
      <c r="F40" s="18"/>
      <c r="G40" s="18"/>
      <c r="H40" s="18"/>
      <c r="I40" s="18" t="s">
        <v>93</v>
      </c>
      <c r="J40" s="18"/>
      <c r="K40" s="18"/>
      <c r="L40" s="18"/>
      <c r="M40" s="18"/>
      <c r="N40" s="18"/>
    </row>
    <row r="41" spans="2:14" ht="15" customHeight="1" x14ac:dyDescent="0.25">
      <c r="B41" s="38" t="s">
        <v>94</v>
      </c>
      <c r="C41" s="38"/>
      <c r="D41" s="38"/>
      <c r="E41" s="38"/>
      <c r="F41" s="38"/>
      <c r="G41" s="38"/>
      <c r="H41" s="38"/>
      <c r="I41" s="38" t="s">
        <v>95</v>
      </c>
      <c r="J41" s="38"/>
      <c r="K41" s="38"/>
      <c r="L41" s="38"/>
      <c r="M41" s="38"/>
      <c r="N41" s="38"/>
    </row>
    <row r="42" spans="2:14" ht="15" customHeight="1" x14ac:dyDescent="0.25">
      <c r="B42" s="38"/>
      <c r="C42" s="38"/>
      <c r="D42" s="38"/>
      <c r="E42" s="38"/>
      <c r="F42" s="38"/>
      <c r="G42" s="38"/>
      <c r="H42" s="38"/>
      <c r="I42" s="38"/>
      <c r="J42" s="38"/>
      <c r="K42" s="38"/>
      <c r="L42" s="38"/>
      <c r="M42" s="38"/>
      <c r="N42" s="38"/>
    </row>
    <row r="43" spans="2:14" ht="15" customHeight="1" x14ac:dyDescent="0.25">
      <c r="B43" s="38"/>
      <c r="C43" s="38"/>
      <c r="D43" s="38"/>
      <c r="E43" s="38"/>
      <c r="F43" s="38"/>
      <c r="G43" s="38"/>
      <c r="H43" s="38"/>
      <c r="I43" s="38"/>
      <c r="J43" s="38"/>
      <c r="K43" s="38"/>
      <c r="L43" s="38"/>
      <c r="M43" s="38"/>
      <c r="N43" s="38"/>
    </row>
    <row r="44" spans="2:14" ht="15" customHeight="1" x14ac:dyDescent="0.25">
      <c r="B44" s="38"/>
      <c r="C44" s="38"/>
      <c r="D44" s="38"/>
      <c r="E44" s="38"/>
      <c r="F44" s="38"/>
      <c r="G44" s="38"/>
      <c r="H44" s="38"/>
      <c r="I44" s="38"/>
      <c r="J44" s="38"/>
      <c r="K44" s="38"/>
      <c r="L44" s="38"/>
      <c r="M44" s="38"/>
      <c r="N44" s="38"/>
    </row>
    <row r="45" spans="2:14" ht="15" customHeight="1" x14ac:dyDescent="0.25">
      <c r="B45" s="38"/>
      <c r="C45" s="38"/>
      <c r="D45" s="38"/>
      <c r="E45" s="38"/>
      <c r="F45" s="38"/>
      <c r="G45" s="38"/>
      <c r="H45" s="38"/>
      <c r="I45" s="38"/>
      <c r="J45" s="38"/>
      <c r="K45" s="38"/>
      <c r="L45" s="38"/>
      <c r="M45" s="38"/>
      <c r="N45" s="38"/>
    </row>
    <row r="46" spans="2:14" ht="6" customHeight="1" x14ac:dyDescent="0.25"/>
    <row r="47" spans="2:14" ht="15.75" customHeight="1" x14ac:dyDescent="0.25">
      <c r="B47" s="19" t="s">
        <v>96</v>
      </c>
      <c r="C47" s="19"/>
      <c r="D47" s="19"/>
      <c r="E47" s="19"/>
      <c r="F47" s="19"/>
      <c r="G47" s="19"/>
      <c r="H47" s="19"/>
      <c r="I47" s="19"/>
      <c r="J47" s="19"/>
      <c r="K47" s="19"/>
      <c r="L47" s="19"/>
      <c r="M47" s="19"/>
      <c r="N47" s="19"/>
    </row>
    <row r="48" spans="2:14" ht="40.5" customHeight="1" x14ac:dyDescent="0.25">
      <c r="B48" s="37" t="s">
        <v>97</v>
      </c>
      <c r="C48" s="37"/>
      <c r="D48" s="37"/>
      <c r="E48" s="37"/>
      <c r="F48" s="37"/>
      <c r="G48" s="37"/>
      <c r="H48" s="37"/>
      <c r="I48" s="37"/>
      <c r="J48" s="37"/>
      <c r="K48" s="37"/>
      <c r="L48" s="37"/>
      <c r="M48" s="37"/>
      <c r="N48" s="37"/>
    </row>
    <row r="49" spans="2:14" ht="30" customHeight="1" x14ac:dyDescent="0.25">
      <c r="B49" s="37" t="s">
        <v>98</v>
      </c>
      <c r="C49" s="37"/>
      <c r="D49" s="37"/>
      <c r="E49" s="37"/>
      <c r="F49" s="37"/>
      <c r="G49" s="37"/>
      <c r="H49" s="37"/>
      <c r="I49" s="37"/>
      <c r="J49" s="37"/>
      <c r="K49" s="37"/>
      <c r="L49" s="37"/>
      <c r="M49" s="37"/>
      <c r="N49" s="37"/>
    </row>
    <row r="50" spans="2:14" ht="40.5" customHeight="1" x14ac:dyDescent="0.25">
      <c r="B50" s="37" t="s">
        <v>99</v>
      </c>
      <c r="C50" s="37"/>
      <c r="D50" s="37"/>
      <c r="E50" s="37"/>
      <c r="F50" s="37"/>
      <c r="G50" s="37"/>
      <c r="H50" s="37"/>
      <c r="I50" s="37"/>
      <c r="J50" s="37"/>
      <c r="K50" s="37"/>
      <c r="L50" s="37"/>
      <c r="M50" s="37"/>
      <c r="N50" s="37"/>
    </row>
    <row r="51" spans="2:14" ht="7.5" customHeight="1" x14ac:dyDescent="0.25"/>
    <row r="52" spans="2:14" ht="15.75" customHeight="1" x14ac:dyDescent="0.25">
      <c r="B52" s="16" t="s">
        <v>100</v>
      </c>
      <c r="C52" s="16"/>
      <c r="D52" s="16"/>
      <c r="E52" s="16"/>
      <c r="F52" s="16"/>
      <c r="G52" s="16"/>
      <c r="H52" s="16"/>
      <c r="I52" s="16"/>
      <c r="J52" s="16"/>
      <c r="K52" s="16"/>
      <c r="L52" s="16"/>
      <c r="M52" s="16"/>
      <c r="N52" s="16"/>
    </row>
    <row r="54" spans="2:14" ht="15.75" customHeight="1" x14ac:dyDescent="0.25">
      <c r="B54" s="17" t="s">
        <v>0</v>
      </c>
      <c r="C54" s="17"/>
      <c r="D54" s="17"/>
      <c r="E54" s="17"/>
      <c r="F54" s="17"/>
      <c r="G54" s="17"/>
      <c r="I54" s="17" t="s">
        <v>101</v>
      </c>
      <c r="J54" s="17"/>
      <c r="K54" s="17"/>
      <c r="L54" s="17"/>
      <c r="M54" s="17"/>
      <c r="N54" s="17"/>
    </row>
    <row r="55" spans="2:14" ht="13.5" customHeight="1" x14ac:dyDescent="0.25">
      <c r="B55" s="15" t="s">
        <v>102</v>
      </c>
      <c r="C55" s="15"/>
      <c r="D55" s="15"/>
      <c r="E55" s="15"/>
      <c r="F55" s="15"/>
      <c r="G55" s="15"/>
      <c r="I55" s="15" t="s">
        <v>102</v>
      </c>
      <c r="J55" s="15"/>
      <c r="K55" s="15"/>
      <c r="L55" s="15"/>
      <c r="M55" s="15"/>
      <c r="N55" s="15"/>
    </row>
    <row r="56" spans="2:14" ht="15.75" customHeight="1" x14ac:dyDescent="0.25"/>
    <row r="57" spans="2:14" ht="15.75" customHeight="1" x14ac:dyDescent="0.25"/>
  </sheetData>
  <mergeCells count="57">
    <mergeCell ref="E2:J2"/>
    <mergeCell ref="K2:N3"/>
    <mergeCell ref="E3:J3"/>
    <mergeCell ref="E4:J4"/>
    <mergeCell ref="K4:L4"/>
    <mergeCell ref="M4:N4"/>
    <mergeCell ref="E5:J5"/>
    <mergeCell ref="K5:L5"/>
    <mergeCell ref="M5:N5"/>
    <mergeCell ref="B8:N8"/>
    <mergeCell ref="B9:G9"/>
    <mergeCell ref="H9:N9"/>
    <mergeCell ref="B10:N10"/>
    <mergeCell ref="B12:E12"/>
    <mergeCell ref="F12:I12"/>
    <mergeCell ref="J12:N12"/>
    <mergeCell ref="B13:E13"/>
    <mergeCell ref="F13:I13"/>
    <mergeCell ref="J13:N13"/>
    <mergeCell ref="B15:N15"/>
    <mergeCell ref="B17:B18"/>
    <mergeCell ref="C17:C18"/>
    <mergeCell ref="D17:D18"/>
    <mergeCell ref="E17:E18"/>
    <mergeCell ref="F17:F18"/>
    <mergeCell ref="G17:G18"/>
    <mergeCell ref="H17:H18"/>
    <mergeCell ref="I17:I18"/>
    <mergeCell ref="J17:J18"/>
    <mergeCell ref="K17:K18"/>
    <mergeCell ref="L17:L18"/>
    <mergeCell ref="M17:M18"/>
    <mergeCell ref="N17:N18"/>
    <mergeCell ref="C31:K31"/>
    <mergeCell ref="C32:K32"/>
    <mergeCell ref="C33:K33"/>
    <mergeCell ref="C34:K34"/>
    <mergeCell ref="C35:K35"/>
    <mergeCell ref="H36:K36"/>
    <mergeCell ref="L36:M36"/>
    <mergeCell ref="H37:K37"/>
    <mergeCell ref="L37:M37"/>
    <mergeCell ref="H38:K38"/>
    <mergeCell ref="L38:M38"/>
    <mergeCell ref="B40:H40"/>
    <mergeCell ref="I40:N40"/>
    <mergeCell ref="B41:H45"/>
    <mergeCell ref="I41:N45"/>
    <mergeCell ref="B47:N47"/>
    <mergeCell ref="B55:G55"/>
    <mergeCell ref="I55:N55"/>
    <mergeCell ref="B48:N48"/>
    <mergeCell ref="B49:N49"/>
    <mergeCell ref="B50:N50"/>
    <mergeCell ref="B52:N52"/>
    <mergeCell ref="B54:G54"/>
    <mergeCell ref="I54:N54"/>
  </mergeCells>
  <pageMargins left="0.3" right="0.3" top="0.35" bottom="0.35" header="0.511811023622047" footer="0.511811023622047"/>
  <pageSetup paperSize="9" scale="88" fitToHeight="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BAO GIA</vt:lpstr>
      <vt:lpstr>'BAO GIA'!Print_Area</vt:lpstr>
      <vt:lpstr>'BAO GIA'!Print_Titles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dankiet</cp:lastModifiedBy>
  <cp:revision>0</cp:revision>
  <cp:lastPrinted>2026-07-10T07:24:13Z</cp:lastPrinted>
  <dcterms:created xsi:type="dcterms:W3CDTF">2026-07-10T07:04:40Z</dcterms:created>
  <dcterms:modified xsi:type="dcterms:W3CDTF">2026-07-10T07:25:18Z</dcterms:modified>
  <dc:language>en-US</dc:language>
</cp:coreProperties>
</file>